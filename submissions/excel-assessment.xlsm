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iyat\Downloads\"/>
    </mc:Choice>
  </mc:AlternateContent>
  <xr:revisionPtr revIDLastSave="0" documentId="13_ncr:1_{B9BF36AD-FAB7-47DC-918D-2FE70C56868E}" xr6:coauthVersionLast="47" xr6:coauthVersionMax="47" xr10:uidLastSave="{00000000-0000-0000-0000-000000000000}"/>
  <bookViews>
    <workbookView xWindow="-110" yWindow="-110" windowWidth="19420" windowHeight="10300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 a="1"/>
  <c r="C22" i="19" s="1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F30" i="18"/>
  <c r="E30" i="18"/>
  <c r="D30" i="18"/>
  <c r="C30" i="18"/>
  <c r="B30" i="18"/>
  <c r="F29" i="18"/>
  <c r="E29" i="18"/>
  <c r="D29" i="18"/>
  <c r="C29" i="18"/>
  <c r="F28" i="18"/>
  <c r="E28" i="18"/>
  <c r="D28" i="18"/>
  <c r="C28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<sst xmlns="http://schemas.openxmlformats.org/spreadsheetml/2006/main" count="325" uniqueCount="180">
  <si>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</si>
  <si>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</si>
  <si>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</si>
  <si>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</si>
  <si>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</si>
  <si>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</si>
  <si>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</si>
  <si>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</si>
  <si>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</si>
  <si>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</si>
  <si>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</si>
  <si>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</si>
  <si>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</si>
  <si>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</si>
  <si>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</si>
  <si>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</si>
  <si>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</si>
  <si>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</si>
  <si>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</si>
  <si>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</si>
  <si>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</si>
  <si>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</si>
  <si>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</si>
  <si>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</si>
  <si>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</si>
  <si>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</si>
  <si>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</si>
  <si>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</si>
  <si>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</si>
  <si>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</si>
  <si>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</si>
  <si>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</si>
  <si>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</si>
  <si>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</si>
  <si>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</si>
  <si>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</si>
  <si>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</si>
  <si>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</si>
  <si>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</si>
  <si>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</si>
  <si>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</si>
  <si>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</si>
  <si>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</si>
  <si>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</si>
  <si>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</si>
  <si>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</si>
  <si>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</si>
  <si>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</si>
  <si>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</si>
  <si>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</si>
  <si>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</si>
  <si>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</si>
  <si>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</si>
  <si>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</si>
  <si>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</si>
  <si>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</si>
  <si>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</si>
  <si>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</si>
  <si>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</si>
  <si>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</si>
  <si>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</si>
  <si>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</si>
  <si>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</si>
  <si>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</si>
  <si>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</si>
  <si>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</si>
  <si>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</si>
  <si>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</si>
  <si>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</si>
  <si>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</si>
  <si>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</si>
  <si>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</si>
  <si>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</si>
  <si>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</si>
  <si>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</si>
  <si>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</si>
  <si>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</si>
  <si>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</si>
  <si>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</si>
  <si>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</si>
  <si>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</si>
  <si>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</si>
  <si>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</si>
  <si>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</si>
  <si>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</si>
  <si>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</si>
  <si>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</si>
  <si>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</si>
  <si>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</si>
  <si>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</si>
  <si>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</si>
  <si>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</si>
  <si>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</si>
  <si>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</si>
  <si>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</si>
  <si>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</si>
  <si>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</si>
  <si>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</si>
  <si>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</si>
  <si>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</si>
  <si>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</si>
  <si>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</si>
  <si>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</si>
  <si>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</si>
  <si>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</si>
  <si>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</si>
  <si>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</si>
  <si>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</si>
  <si>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</si>
  <si>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</si>
  <si>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</si>
  <si>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</si>
  <si>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</si>
  <si>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</si>
  <si>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</si>
  <si>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</si>
  <si>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</si>
  <si>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</si>
  <si>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</si>
  <si>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</si>
  <si>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</si>
  <si>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</si>
  <si>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</si>
  <si>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</si>
  <si>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</si>
  <si>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</si>
  <si>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</si>
  <si>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</si>
  <si>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</si>
  <si>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</si>
  <si>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</si>
  <si>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</si>
  <si>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</si>
  <si>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</si>
  <si>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</si>
  <si>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</si>
  <si>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</si>
  <si>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</si>
  <si>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</si>
  <si>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</si>
  <si>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</si>
  <si>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</si>
  <si>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</si>
  <si>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</si>
  <si>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</si>
  <si>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</si>
  <si>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</si>
  <si>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</si>
  <si>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</si>
  <si>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</si>
  <si>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</si>
  <si>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</si>
  <si>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</si>
  <si>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</si>
  <si>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</si>
  <si>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</si>
  <si>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</si>
  <si>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</si>
  <si>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</si>
  <si>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</si>
  <si>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</si>
  <si>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</si>
  <si>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</si>
  <si>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</si>
  <si>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</si>
  <si>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</si>
  <si>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</si>
  <si>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</si>
  <si>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</si>
  <si>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</si>
  <si>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</si>
  <si>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</si>
  <si>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</si>
  <si>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</si>
  <si>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</si>
  <si>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</si>
  <si>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</si>
  <si>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</si>
  <si>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B22: This is the cell in Table C containing the ID you want to look up.
$M$9:$N$18: This is the range in Table B where the ID and Name are located. The dollar signs ($) make the reference absolute, so it stays the sam</t>
  </si>
  <si>
    <t>"=IFERROR(VLOOKUP(B23, $M$9:$N$18, 2, FALSE), "")"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</si>
</sst>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name val="Times New Roman"/>
      <charset val="204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3" fillId="0" borderId="0" xfId="0" applyNumberFormat="1" applyFont="1"/>
    <xf numFmtId="0" fontId="3" fillId="0" borderId="0" xfId="0" applyFont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28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7"/>
      <tableStyleElement type="headerRow" dxfId="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opLeftCell="A4" zoomScale="124" zoomScaleNormal="124" workbookViewId="0">
      <selection activeCell="A17" sqref="A17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7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5" x14ac:dyDescent="0.35">
      <c r="A4" s="2" t="s">
        <v>177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4" t="s">
        <v>171</v>
      </c>
      <c r="B9" s="25" t="s">
        <v>169</v>
      </c>
    </row>
    <row r="10" spans="1:3" x14ac:dyDescent="0.3">
      <c r="A10" s="33" t="s">
        <v>172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abSelected="1" topLeftCell="O1" zoomScale="95" zoomScaleNormal="45" workbookViewId="0">
      <pane ySplit="1" topLeftCell="A16" activePane="bottomLeft" state="frozen"/>
      <selection activeCell="T1" sqref="T1"/>
      <selection pane="bottomLeft" activeCell="V24" sqref="V24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106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3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3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3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3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3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3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3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3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3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3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3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3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3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3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3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3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3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3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3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3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3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3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3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3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3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3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3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3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3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3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3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3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3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3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3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3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3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3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3">
        <v>45162</v>
      </c>
    </row>
    <row r="41" spans="1:24" x14ac:dyDescent="0.35">
      <c r="H41" s="1">
        <f>SUMIF(H1:H40,"&gt;20")</f>
        <v>1473.0000000000002</v>
      </c>
    </row>
  </sheetData>
  <conditionalFormatting sqref="A1:X40">
    <cfRule type="expression" dxfId="2" priority="2">
      <formula>AND(A1=0, CELL("format", A1)="G")</formula>
    </cfRule>
    <cfRule type="expression" dxfId="1" priority="1">
      <formula>A1=-1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11" sqref="B11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2" t="s">
        <v>105</v>
      </c>
      <c r="E5" s="1">
        <v>10</v>
      </c>
    </row>
    <row r="6" spans="1:5" x14ac:dyDescent="0.35">
      <c r="A6" s="6">
        <v>4</v>
      </c>
      <c r="B6" s="2" t="s">
        <v>107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F23" sqref="F23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9" customFormat="1" ht="21" x14ac:dyDescent="0.5">
      <c r="A1" s="40" t="s">
        <v>55</v>
      </c>
      <c r="B1" s="39" t="s">
        <v>164</v>
      </c>
    </row>
    <row r="2" spans="1:7" s="39" customFormat="1" ht="21" x14ac:dyDescent="0.5">
      <c r="B2" s="39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162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>
        <f>VLOOKUP(A6,Dataset!A:G,7,0)</f>
        <v>2.7</v>
      </c>
      <c r="C6" s="11">
        <f>VLOOKUP(A6,Dataset!A:M,13,0)</f>
        <v>5.3</v>
      </c>
      <c r="D6" s="11">
        <f>VLOOKUP(A6,Dataset!A:R,18,0)</f>
        <v>4.2</v>
      </c>
      <c r="E6" s="11">
        <f>VLOOKUP(A6,Dataset!A:X,20,0)</f>
        <v>8.9</v>
      </c>
      <c r="F6" s="8">
        <f>VLOOKUP(A6,Dataset!A:X,22,0)</f>
        <v>4.2</v>
      </c>
    </row>
    <row r="7" spans="1:7" ht="14.5" x14ac:dyDescent="0.35">
      <c r="A7" s="7" t="s">
        <v>4</v>
      </c>
      <c r="B7" s="11">
        <f>VLOOKUP(A7,Dataset!A:G,7,0)</f>
        <v>2.7</v>
      </c>
      <c r="C7" s="11">
        <f>VLOOKUP(A7,Dataset!A:M,13,0)</f>
        <v>5.3</v>
      </c>
      <c r="D7" s="11">
        <f>VLOOKUP(A7,Dataset!A:R,18,0)</f>
        <v>4.2</v>
      </c>
      <c r="E7" s="11">
        <f>VLOOKUP(A7,Dataset!A:X,20,0)</f>
        <v>8.9</v>
      </c>
      <c r="F7" s="8">
        <f>VLOOKUP(A7,Dataset!A:X,22,0)</f>
        <v>4.2</v>
      </c>
    </row>
    <row r="8" spans="1:7" ht="14.5" x14ac:dyDescent="0.35">
      <c r="A8" s="7" t="s">
        <v>7</v>
      </c>
      <c r="B8" s="11">
        <f>VLOOKUP(A8,Dataset!A:G,7,0)</f>
        <v>3.6</v>
      </c>
      <c r="C8" s="11">
        <f>VLOOKUP(A8,Dataset!A:M,13,0)</f>
        <v>7.6</v>
      </c>
      <c r="D8" s="11">
        <f>VLOOKUP(A8,Dataset!A:R,18,0)</f>
        <v>5.8</v>
      </c>
      <c r="E8" s="11">
        <f>VLOOKUP(A8,Dataset!A:X,20,0)</f>
        <v>12.2</v>
      </c>
      <c r="F8" s="8">
        <f>VLOOKUP(A8,Dataset!A:X,22,0)</f>
        <v>5.8</v>
      </c>
    </row>
    <row r="9" spans="1:7" ht="14.5" x14ac:dyDescent="0.35">
      <c r="A9" s="7" t="s">
        <v>8</v>
      </c>
      <c r="B9" s="11">
        <f>VLOOKUP(A9,Dataset!A:G,7,0)</f>
        <v>4.9000000000000004</v>
      </c>
      <c r="C9" s="11">
        <f>VLOOKUP(A9,Dataset!A:M,13,0)</f>
        <v>10</v>
      </c>
      <c r="D9" s="11">
        <f>VLOOKUP(A9,Dataset!A:R,18,0)</f>
        <v>8.1</v>
      </c>
      <c r="E9" s="11">
        <f>VLOOKUP(A9,Dataset!A:X,20,0)</f>
        <v>17</v>
      </c>
      <c r="F9" s="8">
        <f>VLOOKUP(A9,Dataset!A:X,22,0)</f>
        <v>8.1</v>
      </c>
    </row>
    <row r="10" spans="1:7" ht="14.5" x14ac:dyDescent="0.35">
      <c r="A10" s="7" t="s">
        <v>11</v>
      </c>
      <c r="B10" s="11">
        <f>VLOOKUP(A10,Dataset!A:G,7,0)</f>
        <v>9.4</v>
      </c>
      <c r="C10" s="11">
        <f>VLOOKUP(A10,Dataset!A:M,13,0)</f>
        <v>19.2</v>
      </c>
      <c r="D10" s="11">
        <f>VLOOKUP(A10,Dataset!A:R,18,0)</f>
        <v>16.100000000000001</v>
      </c>
      <c r="E10" s="11">
        <f>VLOOKUP(A10,Dataset!A:X,20,0)</f>
        <v>32.799999999999997</v>
      </c>
      <c r="F10" s="8">
        <f>VLOOKUP(A10,Dataset!A:X,22,0)</f>
        <v>16.100000000000001</v>
      </c>
    </row>
    <row r="11" spans="1:7" ht="14.5" x14ac:dyDescent="0.35">
      <c r="A11" s="7" t="s">
        <v>12</v>
      </c>
      <c r="B11" s="11">
        <f>VLOOKUP(A11,Dataset!A:G,7,0)</f>
        <v>11.6</v>
      </c>
      <c r="C11" s="11">
        <f>VLOOKUP(A11,Dataset!A:M,13,0)</f>
        <v>23.6</v>
      </c>
      <c r="D11" s="11">
        <f>VLOOKUP(A11,Dataset!A:R,18,0)</f>
        <v>21.3</v>
      </c>
      <c r="E11" s="11">
        <f>VLOOKUP(A11,Dataset!A:X,20,0)</f>
        <v>43</v>
      </c>
      <c r="F11" s="8">
        <f>VLOOKUP(A11,Dataset!A:X,22,0)</f>
        <v>21.3</v>
      </c>
    </row>
    <row r="12" spans="1:7" ht="14.5" x14ac:dyDescent="0.35">
      <c r="A12" s="7" t="s">
        <v>14</v>
      </c>
      <c r="B12" s="11">
        <f>VLOOKUP(A12,Dataset!A:G,7,0)</f>
        <v>18.399999999999999</v>
      </c>
      <c r="C12" s="11">
        <f>VLOOKUP(A12,Dataset!A:M,13,0)</f>
        <v>37.200000000000003</v>
      </c>
      <c r="D12" s="11">
        <f>VLOOKUP(A12,Dataset!A:R,18,0)</f>
        <v>33.799999999999997</v>
      </c>
      <c r="E12" s="11">
        <f>VLOOKUP(A12,Dataset!A:X,20,0)</f>
        <v>67.900000000000006</v>
      </c>
      <c r="F12" s="8">
        <f>VLOOKUP(A12,Dataset!A:X,22,0)</f>
        <v>33.799999999999997</v>
      </c>
    </row>
    <row r="13" spans="1:7" ht="14.5" x14ac:dyDescent="0.35">
      <c r="A13" s="7" t="s">
        <v>15</v>
      </c>
      <c r="B13" s="11">
        <f>VLOOKUP(A13,Dataset!A:G,7,0)</f>
        <v>0</v>
      </c>
      <c r="C13" s="11">
        <f>VLOOKUP(A13,Dataset!A:M,13,0)</f>
        <v>0</v>
      </c>
      <c r="D13" s="11">
        <f>VLOOKUP(A13,Dataset!A:R,18,0)</f>
        <v>0</v>
      </c>
      <c r="E13" s="11">
        <f>VLOOKUP(A13,Dataset!A:X,20,0)</f>
        <v>0</v>
      </c>
      <c r="F13" s="8">
        <f>VLOOKUP(A13,Dataset!A:X,22,0)</f>
        <v>0</v>
      </c>
    </row>
    <row r="14" spans="1:7" ht="14.5" x14ac:dyDescent="0.35">
      <c r="A14" s="7" t="s">
        <v>16</v>
      </c>
      <c r="B14" s="11">
        <f>VLOOKUP(A14,Dataset!A:G,7,0)</f>
        <v>21.9</v>
      </c>
      <c r="C14" s="11">
        <f>VLOOKUP(A14,Dataset!A:M,13,0)</f>
        <v>42.3</v>
      </c>
      <c r="D14" s="11">
        <f>VLOOKUP(A14,Dataset!A:R,18,0)</f>
        <v>40.1</v>
      </c>
      <c r="E14" s="11">
        <f>VLOOKUP(A14,Dataset!A:X,20,0)</f>
        <v>76.599999999999994</v>
      </c>
      <c r="F14" s="8">
        <f>VLOOKUP(A14,Dataset!A:X,22,0)</f>
        <v>40.1</v>
      </c>
    </row>
    <row r="15" spans="1:7" ht="14.5" x14ac:dyDescent="0.35">
      <c r="A15" s="7" t="s">
        <v>18</v>
      </c>
      <c r="B15" s="11">
        <f>VLOOKUP(A15,Dataset!A:G,7,0)</f>
        <v>26.8</v>
      </c>
      <c r="C15" s="11">
        <f>VLOOKUP(A15,Dataset!A:M,13,0)</f>
        <v>54.6</v>
      </c>
      <c r="D15" s="11">
        <f>VLOOKUP(A15,Dataset!A:R,18,0)</f>
        <v>47.9</v>
      </c>
      <c r="E15" s="11">
        <f>VLOOKUP(A15,Dataset!A:X,20,0)</f>
        <v>96.8</v>
      </c>
      <c r="F15" s="8">
        <f>VLOOKUP(A15,Dataset!A:X,22,0)</f>
        <v>47.9</v>
      </c>
    </row>
    <row r="16" spans="1:7" ht="14.5" x14ac:dyDescent="0.35">
      <c r="A16" s="7" t="s">
        <v>20</v>
      </c>
      <c r="B16" s="11">
        <f>VLOOKUP(A16,Dataset!A:G,7,0)</f>
        <v>28.5</v>
      </c>
      <c r="C16" s="11">
        <f>VLOOKUP(A16,Dataset!A:M,13,0)</f>
        <v>58.3</v>
      </c>
      <c r="D16" s="11">
        <f>VLOOKUP(A16,Dataset!A:R,18,0)</f>
        <v>52.3</v>
      </c>
      <c r="E16" s="11">
        <f>VLOOKUP(A16,Dataset!A:X,20,0)</f>
        <v>106.1</v>
      </c>
      <c r="F16" s="8">
        <f>VLOOKUP(A16,Dataset!A:X,22,0)</f>
        <v>52.3</v>
      </c>
    </row>
    <row r="17" spans="1:6" ht="14.5" x14ac:dyDescent="0.35">
      <c r="A17" s="7" t="s">
        <v>22</v>
      </c>
      <c r="B17" s="11">
        <f>VLOOKUP(A17,Dataset!A:G,7,0)</f>
        <v>30.7</v>
      </c>
      <c r="C17" s="11">
        <f>VLOOKUP(A17,Dataset!A:M,13,0)</f>
        <v>62.5</v>
      </c>
      <c r="D17" s="11">
        <f>VLOOKUP(A17,Dataset!A:R,18,0)</f>
        <v>57</v>
      </c>
      <c r="E17" s="11">
        <f>VLOOKUP(A17,Dataset!A:X,20,0)</f>
        <v>115.1</v>
      </c>
      <c r="F17" s="8">
        <f>VLOOKUP(A17,Dataset!A:X,22,0)</f>
        <v>57</v>
      </c>
    </row>
    <row r="18" spans="1:6" ht="14.5" x14ac:dyDescent="0.35">
      <c r="A18" s="7" t="s">
        <v>23</v>
      </c>
      <c r="B18" s="11">
        <f>VLOOKUP(A18,Dataset!A:G,7,0)</f>
        <v>33.799999999999997</v>
      </c>
      <c r="C18" s="11">
        <f>VLOOKUP(A18,Dataset!A:M,13,0)</f>
        <v>67.900000000000006</v>
      </c>
      <c r="D18" s="11">
        <f>VLOOKUP(A18,Dataset!A:R,18,0)</f>
        <v>61.4</v>
      </c>
      <c r="E18" s="11">
        <f>VLOOKUP(A18,Dataset!A:X,20,0)</f>
        <v>124.4</v>
      </c>
      <c r="F18" s="8">
        <f>VLOOKUP(A18,Dataset!A:X,22,0)</f>
        <v>61.4</v>
      </c>
    </row>
    <row r="19" spans="1:6" ht="14.5" x14ac:dyDescent="0.35">
      <c r="A19" s="7" t="s">
        <v>24</v>
      </c>
      <c r="B19" s="11">
        <f>VLOOKUP(A19,Dataset!A:G,7,0)</f>
        <v>34.700000000000003</v>
      </c>
      <c r="C19" s="11">
        <f>VLOOKUP(A19,Dataset!A:M,13,0)</f>
        <v>70.8</v>
      </c>
      <c r="D19" s="11">
        <f>VLOOKUP(A19,Dataset!A:R,18,0)</f>
        <v>63.6</v>
      </c>
      <c r="E19" s="11">
        <f>VLOOKUP(A19,Dataset!A:X,20,0)</f>
        <v>128.6</v>
      </c>
      <c r="F19" s="8">
        <f>VLOOKUP(A19,Dataset!A:X,22,0)</f>
        <v>63.6</v>
      </c>
    </row>
    <row r="20" spans="1:6" ht="14.5" x14ac:dyDescent="0.35">
      <c r="A20" s="7" t="s">
        <v>28</v>
      </c>
      <c r="B20" s="11">
        <f>VLOOKUP(A20,Dataset!A:G,7,0)</f>
        <v>0</v>
      </c>
      <c r="C20" s="11">
        <f>VLOOKUP(A20,Dataset!A:M,13,0)</f>
        <v>0</v>
      </c>
      <c r="D20" s="11">
        <f>VLOOKUP(A20,Dataset!A:R,18,0)</f>
        <v>0</v>
      </c>
      <c r="E20" s="11">
        <f>VLOOKUP(A20,Dataset!A:X,20,0)</f>
        <v>0</v>
      </c>
      <c r="F20" s="8">
        <f>VLOOKUP(A20,Dataset!A:X,22,0)</f>
        <v>0</v>
      </c>
    </row>
    <row r="21" spans="1:6" ht="14.5" x14ac:dyDescent="0.35">
      <c r="A21" s="7" t="s">
        <v>57</v>
      </c>
      <c r="B21" s="11">
        <f>VLOOKUP(A21,Dataset!A:G,7,0)</f>
        <v>41.3</v>
      </c>
      <c r="C21" s="11">
        <f>VLOOKUP(A21,Dataset!A:M,13,0)</f>
        <v>83.5</v>
      </c>
      <c r="D21" s="11">
        <f>VLOOKUP(A21,Dataset!A:R,18,0)</f>
        <v>75</v>
      </c>
      <c r="E21" s="11">
        <f>VLOOKUP(A21,Dataset!A:X,20,0)</f>
        <v>151.5</v>
      </c>
      <c r="F21" s="8">
        <f>VLOOKUP(A21,Dataset!A:X,22,0)</f>
        <v>75</v>
      </c>
    </row>
    <row r="22" spans="1:6" ht="14.5" x14ac:dyDescent="0.35">
      <c r="A22" s="7" t="s">
        <v>58</v>
      </c>
      <c r="B22" s="11">
        <f>VLOOKUP(A22,Dataset!A:G,7,0)</f>
        <v>-1</v>
      </c>
      <c r="C22" s="11">
        <f>VLOOKUP(A22,Dataset!A:M,13,0)</f>
        <v>-1</v>
      </c>
      <c r="D22" s="11">
        <f>VLOOKUP(A22,Dataset!A:R,18,0)</f>
        <v>-1</v>
      </c>
      <c r="E22" s="11">
        <f>VLOOKUP(A22,Dataset!A:X,20,0)</f>
        <v>-1</v>
      </c>
      <c r="F22" s="8">
        <f>VLOOKUP(A22,Dataset!A:X,22,0)</f>
        <v>-1</v>
      </c>
    </row>
    <row r="23" spans="1:6" ht="14.5" x14ac:dyDescent="0.35">
      <c r="A23" s="7" t="s">
        <v>31</v>
      </c>
      <c r="B23" s="11">
        <f>VLOOKUP(A23,Dataset!A:G,7,0)</f>
        <v>45</v>
      </c>
      <c r="C23" s="11">
        <f>VLOOKUP(A23,Dataset!A:M,13,0)</f>
        <v>90.9</v>
      </c>
      <c r="D23" s="11">
        <f>VLOOKUP(A23,Dataset!A:R,18,0)</f>
        <v>79.400000000000006</v>
      </c>
      <c r="E23" s="11">
        <f>VLOOKUP(A23,Dataset!A:X,20,0)</f>
        <v>160.9</v>
      </c>
      <c r="F23" s="8">
        <f>VLOOKUP(A23,Dataset!A:X,22,0)</f>
        <v>79.400000000000006</v>
      </c>
    </row>
    <row r="24" spans="1:6" ht="14.5" x14ac:dyDescent="0.35">
      <c r="A24" s="7" t="s">
        <v>32</v>
      </c>
      <c r="B24" s="11">
        <f>VLOOKUP(A24,Dataset!A:G,7,0)</f>
        <v>-1</v>
      </c>
      <c r="C24" s="11">
        <f>VLOOKUP(A24,Dataset!A:M,13,0)</f>
        <v>-1</v>
      </c>
      <c r="D24" s="11">
        <f>VLOOKUP(A24,Dataset!A:R,18,0)</f>
        <v>-1</v>
      </c>
      <c r="E24" s="11">
        <f>VLOOKUP(A24,Dataset!A:X,20,0)</f>
        <v>-1</v>
      </c>
      <c r="F24" s="8">
        <f>VLOOKUP(A24,Dataset!A:X,22,0)</f>
        <v>-1</v>
      </c>
    </row>
    <row r="25" spans="1:6" ht="14.5" x14ac:dyDescent="0.35">
      <c r="A25" s="7" t="s">
        <v>34</v>
      </c>
      <c r="B25" s="11">
        <f>VLOOKUP(A25,Dataset!A:G,7,0)</f>
        <v>43.3</v>
      </c>
      <c r="C25" s="11">
        <f>VLOOKUP(A25,Dataset!A:M,13,0)</f>
        <v>87.6</v>
      </c>
      <c r="D25" s="11">
        <f>VLOOKUP(A25,Dataset!A:R,18,0)</f>
        <v>79.400000000000006</v>
      </c>
      <c r="E25" s="11">
        <f>VLOOKUP(A25,Dataset!A:X,20,0)</f>
        <v>160.9</v>
      </c>
      <c r="F25" s="8">
        <f>VLOOKUP(A25,Dataset!A:X,22,0)</f>
        <v>79.400000000000006</v>
      </c>
    </row>
    <row r="26" spans="1:6" ht="14.5" x14ac:dyDescent="0.35">
      <c r="A26" s="7" t="s">
        <v>37</v>
      </c>
      <c r="B26" s="11">
        <f>VLOOKUP(A26,Dataset!A:G,7,0)</f>
        <v>49.1</v>
      </c>
      <c r="C26" s="11">
        <f>VLOOKUP(A26,Dataset!A:M,13,0)</f>
        <v>99.5</v>
      </c>
      <c r="D26" s="11">
        <f>VLOOKUP(A26,Dataset!A:R,18,0)</f>
        <v>90.9</v>
      </c>
      <c r="E26" s="11">
        <f>VLOOKUP(A26,Dataset!A:X,20,0)</f>
        <v>183.5</v>
      </c>
      <c r="F26" s="8">
        <f>VLOOKUP(A26,Dataset!A:X,22,0)</f>
        <v>90.9</v>
      </c>
    </row>
    <row r="27" spans="1:6" ht="14.5" x14ac:dyDescent="0.35">
      <c r="A27" s="7" t="s">
        <v>39</v>
      </c>
      <c r="B27" s="11">
        <f>VLOOKUP(A27,Dataset!A:G,7,0)</f>
        <v>51.8</v>
      </c>
      <c r="C27" s="11">
        <f>VLOOKUP(A27,Dataset!A:M,13,0)</f>
        <v>104.5</v>
      </c>
      <c r="D27" s="11">
        <f>VLOOKUP(A27,Dataset!A:R,18,0)</f>
        <v>93.1</v>
      </c>
      <c r="E27" s="11">
        <f>VLOOKUP(A27,Dataset!A:X,20,0)</f>
        <v>188.1</v>
      </c>
      <c r="F27" s="8">
        <f>VLOOKUP(A27,Dataset!A:X,22,0)</f>
        <v>93.1</v>
      </c>
    </row>
    <row r="28" spans="1:6" ht="14.5" x14ac:dyDescent="0.35">
      <c r="A28" s="18" t="s">
        <v>82</v>
      </c>
      <c r="B28" s="11">
        <f>MIN(B6:B27)</f>
        <v>-1</v>
      </c>
      <c r="C28" s="11">
        <f>MIN(C6:C27)</f>
        <v>-1</v>
      </c>
      <c r="D28" s="11">
        <f>MIN(D6:D27)</f>
        <v>-1</v>
      </c>
      <c r="E28" s="11">
        <f>MIN(D6:D27)</f>
        <v>-1</v>
      </c>
      <c r="F28" s="8">
        <f>MIN(D6:D27)</f>
        <v>-1</v>
      </c>
    </row>
    <row r="29" spans="1:6" ht="14.5" x14ac:dyDescent="0.35">
      <c r="A29" s="18" t="s">
        <v>83</v>
      </c>
      <c r="B29" s="11">
        <f>MAX(B6:B27)</f>
        <v>51.8</v>
      </c>
      <c r="C29" s="11">
        <f>MAX(C6:C27)</f>
        <v>104.5</v>
      </c>
      <c r="D29" s="11">
        <f>MAX(D6:D27)</f>
        <v>93.1</v>
      </c>
      <c r="E29" s="11">
        <f>MAX(E6:E27)</f>
        <v>188.1</v>
      </c>
      <c r="F29" s="8">
        <f>MAX(F6:F27)</f>
        <v>93.1</v>
      </c>
    </row>
    <row r="30" spans="1:6" ht="14.5" x14ac:dyDescent="0.35">
      <c r="A30" s="18" t="s">
        <v>84</v>
      </c>
      <c r="B30" s="11">
        <f>AVERAGE(B6:B27)</f>
        <v>20.827272727272728</v>
      </c>
      <c r="C30" s="11">
        <f>AVERAGE(C6:C27)</f>
        <v>42.209090909090904</v>
      </c>
      <c r="D30" s="11">
        <f>AVERAGE(D6:D27)</f>
        <v>37.800000000000004</v>
      </c>
      <c r="E30" s="11">
        <f>AVERAGE(E6:E27)</f>
        <v>76.418181818181822</v>
      </c>
      <c r="F30" s="8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" zoomScale="71" zoomScaleNormal="100" workbookViewId="0">
      <selection activeCell="H54" sqref="H54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39" customFormat="1" ht="21" x14ac:dyDescent="0.5">
      <c r="A1" s="40" t="s">
        <v>56</v>
      </c>
      <c r="B1" s="39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1" t="s">
        <v>53</v>
      </c>
      <c r="B5" s="38"/>
    </row>
    <row r="6" spans="1:10" ht="18.5" x14ac:dyDescent="0.45">
      <c r="A6" s="41" t="s">
        <v>153</v>
      </c>
      <c r="B6" s="38"/>
    </row>
    <row r="7" spans="1:10" ht="18.5" x14ac:dyDescent="0.45">
      <c r="A7" s="41"/>
      <c r="B7" s="38"/>
    </row>
    <row r="9" spans="1:10" ht="23.5" x14ac:dyDescent="0.55000000000000004">
      <c r="A9" s="17" t="s">
        <v>165</v>
      </c>
      <c r="I9" s="2"/>
      <c r="J9" s="2"/>
    </row>
    <row r="10" spans="1:10" x14ac:dyDescent="0.35">
      <c r="A10" s="31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162</v>
      </c>
    </row>
    <row r="15" spans="1:10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7" t="s">
        <v>121</v>
      </c>
      <c r="B16" s="11" t="str">
        <f>LEFT(A16, FIND("-", A16) - 1)</f>
        <v>20000</v>
      </c>
      <c r="C16" s="1" t="str">
        <f>MID(A16, FIND("-", A16) + 1, FIND("-", A16, FIND("-", A16) + 1) - FIND("-", A16) - 1)</f>
        <v>Monday</v>
      </c>
      <c r="D16" s="11" t="str">
        <f>MID(A16, FIND("-", A16, FIND("-", A16) + 1) + 1, FIND("-", A16, FIND("-", A16, FIND("-", A16) + 1) + 1) - FIND("-", A16, FIND("-", A16) + 1) - 1)</f>
        <v>0</v>
      </c>
      <c r="E16" s="1" t="str">
        <f>MID(A16, FIND("-", A16, FIND("-", A16, FIND("-", A16) + 1) + 1) + 1, FIND("-", A16, FIND("-", A16, FIND("-", A16, FIND("-", A16) + 1) + 1) + 1) - FIND("-", A16, FIND("-", A16, FIND("-", A16) + 1) + 1) - 1)</f>
        <v>Sunday</v>
      </c>
      <c r="F16" s="11" t="str">
        <f>RIGHT(A16, LEN(A16) - FIND("*", SUBSTITUTE(A16, "-", "*", LEN(A16) - LEN(SUBSTITUTE(A16, "-", "")))))</f>
        <v>24</v>
      </c>
    </row>
    <row r="17" spans="1:6" x14ac:dyDescent="0.35">
      <c r="A17" s="7" t="s">
        <v>122</v>
      </c>
      <c r="B17" s="11" t="str">
        <f t="shared" ref="B17:B54" si="0">LEFT(A17, FIND("-", A17) - 1)</f>
        <v>20002</v>
      </c>
      <c r="C17" s="1" t="str">
        <f t="shared" ref="C17:C54" si="1">MID(A17, FIND("-", A17) + 1, FIND("-", A17, FIND("-", A17) + 1) - FIND("-", A17) - 1)</f>
        <v>Monday</v>
      </c>
      <c r="D17" s="11" t="str">
        <f t="shared" ref="D17:D54" si="2">MID(A17, FIND("-", A17, FIND("-", A17) + 1) + 1, FIND("-", A17, FIND("-", A17, FIND("-", A17) + 1) + 1) - FIND("-", A17, FIND("-", A17) + 1) - 1)</f>
        <v>0</v>
      </c>
      <c r="E17" s="1" t="str">
        <f t="shared" ref="E17:E54" si="3">MID(A17, FIND("-", A17, FIND("-", A17, FIND("-", A17) + 1) + 1) + 1, FIND("-", A17, FIND("-", A17, FIND("-", A17, FIND("-", A17) + 1) + 1) + 1) - FIND("-", A17, FIND("-", A17, FIND("-", A17) + 1) + 1) - 1)</f>
        <v>Sunday</v>
      </c>
      <c r="F17" s="11" t="str">
        <f t="shared" ref="F17:F54" si="4">RIGHT(A17, LEN(A17) - FIND("*", SUBSTITUTE(A17, "-", "*", LEN(A17) - LEN(SUBSTITUTE(A17, "-", "")))))</f>
        <v>24</v>
      </c>
    </row>
    <row r="18" spans="1:6" x14ac:dyDescent="0.35">
      <c r="A18" s="7" t="s">
        <v>123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35">
      <c r="A19" s="7" t="s">
        <v>124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35">
      <c r="A20" s="7" t="s">
        <v>125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35">
      <c r="A21" s="7" t="s">
        <v>126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35">
      <c r="A22" s="7" t="s">
        <v>127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35">
      <c r="A23" s="7" t="s">
        <v>128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35">
      <c r="A24" s="7" t="s">
        <v>129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35">
      <c r="A25" s="7" t="s">
        <v>130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35">
      <c r="A26" s="7" t="s">
        <v>131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35">
      <c r="A27" s="7" t="s">
        <v>132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35">
      <c r="A28" s="7" t="s">
        <v>133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35">
      <c r="A29" s="7" t="s">
        <v>134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35">
      <c r="A30" s="7" t="s">
        <v>135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35">
      <c r="A31" s="7" t="s">
        <v>136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35">
      <c r="A32" s="7" t="s">
        <v>137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35">
      <c r="A33" s="7" t="s">
        <v>138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35">
      <c r="A34" s="7" t="s">
        <v>139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35">
      <c r="A35" s="7" t="s">
        <v>140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35">
      <c r="A36" s="7" t="s">
        <v>141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35">
      <c r="A37" s="7" t="s">
        <v>142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35">
      <c r="A38" s="7" t="s">
        <v>143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35">
      <c r="A39" s="7" t="s">
        <v>144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35">
      <c r="A40" s="7" t="s">
        <v>145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35">
      <c r="A41" s="7" t="s">
        <v>146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35">
      <c r="A42" s="7" t="s">
        <v>147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35">
      <c r="A43" s="7" t="s">
        <v>148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35">
      <c r="A44" s="7" t="s">
        <v>149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35">
      <c r="A45" s="7" t="s">
        <v>150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35">
      <c r="A46" s="7" t="s">
        <v>112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35">
      <c r="A47" s="7" t="s">
        <v>113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35">
      <c r="A48" s="7" t="s">
        <v>114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35">
      <c r="A49" s="7" t="s">
        <v>115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35">
      <c r="A50" s="7" t="s">
        <v>116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35">
      <c r="A51" s="7" t="s">
        <v>117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35">
      <c r="A52" s="7" t="s">
        <v>118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35">
      <c r="A53" s="7" t="s">
        <v>119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35">
      <c r="A54" s="9" t="s">
        <v>120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7" zoomScaleNormal="100" workbookViewId="0">
      <selection activeCell="E20" sqref="E20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0" t="s">
        <v>85</v>
      </c>
      <c r="B1" s="39" t="s">
        <v>167</v>
      </c>
    </row>
    <row r="2" spans="1:3" ht="18.5" x14ac:dyDescent="0.45">
      <c r="B2" s="38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/>
    </row>
    <row r="7" spans="1:3" ht="14.5" x14ac:dyDescent="0.35">
      <c r="A7" s="3" t="s">
        <v>153</v>
      </c>
      <c r="B7" s="1"/>
    </row>
    <row r="10" spans="1:3" ht="23.5" x14ac:dyDescent="0.55000000000000004">
      <c r="A10" s="17" t="s">
        <v>162</v>
      </c>
    </row>
    <row r="11" spans="1:3" ht="14.5" x14ac:dyDescent="0.35">
      <c r="A11" s="30" t="s">
        <v>86</v>
      </c>
      <c r="B11" s="16" t="s">
        <v>87</v>
      </c>
      <c r="C11" s="16" t="s">
        <v>88</v>
      </c>
    </row>
    <row r="12" spans="1:3" ht="14.5" x14ac:dyDescent="0.35">
      <c r="A12" s="30">
        <v>44927</v>
      </c>
      <c r="B12" s="16" t="s">
        <v>59</v>
      </c>
      <c r="C12" s="16">
        <v>200</v>
      </c>
    </row>
    <row r="13" spans="1:3" ht="14.5" x14ac:dyDescent="0.35">
      <c r="A13" s="30">
        <v>44928</v>
      </c>
      <c r="B13" s="16" t="s">
        <v>60</v>
      </c>
      <c r="C13" s="16" t="e">
        <v>#N/A</v>
      </c>
    </row>
    <row r="14" spans="1:3" ht="14.5" x14ac:dyDescent="0.35">
      <c r="A14" s="30">
        <v>44929</v>
      </c>
      <c r="B14" s="16" t="s">
        <v>61</v>
      </c>
      <c r="C14" s="16">
        <v>50</v>
      </c>
    </row>
    <row r="15" spans="1:3" ht="14.5" x14ac:dyDescent="0.35">
      <c r="A15" s="30">
        <v>44930</v>
      </c>
      <c r="B15" s="16" t="s">
        <v>62</v>
      </c>
      <c r="C15" s="16" t="e">
        <v>#N/A</v>
      </c>
    </row>
    <row r="16" spans="1:3" ht="14.5" x14ac:dyDescent="0.35">
      <c r="A16" s="30">
        <v>44931</v>
      </c>
      <c r="B16" s="16" t="s">
        <v>63</v>
      </c>
      <c r="C16" s="16">
        <v>10</v>
      </c>
    </row>
    <row r="17" spans="1:3" ht="14.5" x14ac:dyDescent="0.35">
      <c r="A17" s="30">
        <v>44932</v>
      </c>
      <c r="B17" s="16" t="s">
        <v>154</v>
      </c>
      <c r="C17" s="16">
        <v>150</v>
      </c>
    </row>
    <row r="18" spans="1:3" ht="14.5" x14ac:dyDescent="0.35">
      <c r="A18" s="30">
        <v>44933</v>
      </c>
      <c r="B18" s="16" t="s">
        <v>155</v>
      </c>
      <c r="C18" s="16">
        <v>80</v>
      </c>
    </row>
    <row r="19" spans="1:3" ht="14.5" x14ac:dyDescent="0.35">
      <c r="A19" s="30">
        <v>44934</v>
      </c>
      <c r="B19" s="16" t="s">
        <v>156</v>
      </c>
      <c r="C19" s="16" t="e">
        <v>#N/A</v>
      </c>
    </row>
    <row r="20" spans="1:3" ht="14.5" x14ac:dyDescent="0.35">
      <c r="A20" s="30">
        <v>44935</v>
      </c>
      <c r="B20" s="16" t="s">
        <v>157</v>
      </c>
      <c r="C20" s="16">
        <v>30</v>
      </c>
    </row>
    <row r="21" spans="1:3" ht="14.5" x14ac:dyDescent="0.35">
      <c r="A21" s="30">
        <v>44936</v>
      </c>
      <c r="B21" s="16" t="s">
        <v>158</v>
      </c>
      <c r="C21" s="16" t="e">
        <v>#N/A</v>
      </c>
    </row>
    <row r="22" spans="1:3" ht="14.5" x14ac:dyDescent="0.35">
      <c r="B22" s="16" t="s">
        <v>159</v>
      </c>
      <c r="C22" s="24" cm="1">
        <f t="array" ref="C22">SUM(IFERROR(C12:C21, 20))</f>
        <v>600</v>
      </c>
    </row>
  </sheetData>
  <phoneticPr fontId="1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="64" zoomScaleNormal="67" workbookViewId="0">
      <selection activeCell="C14" sqref="C14"/>
    </sheetView>
  </sheetViews>
  <sheetFormatPr defaultColWidth="11" defaultRowHeight="13" x14ac:dyDescent="0.3"/>
  <cols>
    <col min="1" max="1" width="35.59765625" style="2" bestFit="1" customWidth="1"/>
    <col min="2" max="2" width="140.09765625" style="2" bestFit="1" customWidth="1"/>
    <col min="3" max="3" width="5.796875" style="2" bestFit="1" customWidth="1"/>
    <col min="4" max="10" width="4.296875" style="2" bestFit="1" customWidth="1"/>
    <col min="11" max="12" width="11" style="2"/>
    <col min="13" max="13" width="13.3984375" style="2" bestFit="1" customWidth="1"/>
    <col min="14" max="14" width="6.3984375" style="2" bestFit="1" customWidth="1"/>
    <col min="15" max="16384" width="11" style="2"/>
  </cols>
  <sheetData>
    <row r="1" spans="1:14" ht="21" x14ac:dyDescent="0.5">
      <c r="A1" s="40" t="s">
        <v>98</v>
      </c>
      <c r="B1" s="39" t="s">
        <v>175</v>
      </c>
    </row>
    <row r="3" spans="1:14" ht="14.5" x14ac:dyDescent="0.35">
      <c r="B3" s="1" t="s">
        <v>151</v>
      </c>
    </row>
    <row r="4" spans="1:14" ht="18.5" x14ac:dyDescent="0.45">
      <c r="A4" s="41" t="s">
        <v>53</v>
      </c>
      <c r="B4" s="1" t="s">
        <v>179</v>
      </c>
    </row>
    <row r="5" spans="1:14" ht="30" x14ac:dyDescent="0.45">
      <c r="A5" s="41" t="s">
        <v>153</v>
      </c>
      <c r="B5" s="44" t="s">
        <v>178</v>
      </c>
    </row>
    <row r="6" spans="1:14" ht="14.5" x14ac:dyDescent="0.35">
      <c r="A6" s="3"/>
      <c r="B6" s="1"/>
    </row>
    <row r="8" spans="1:14" ht="23.5" x14ac:dyDescent="0.55000000000000004">
      <c r="A8" s="17" t="s">
        <v>162</v>
      </c>
      <c r="M8" s="17" t="s">
        <v>163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168</v>
      </c>
    </row>
    <row r="22" spans="1:14" ht="14.5" x14ac:dyDescent="0.35">
      <c r="A22" s="13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1">
        <v>10102</v>
      </c>
      <c r="C23" s="42" t="str">
        <f>IFERROR(VLOOKUP(B23, $M$9:$N$18, 2, FALSE), "")</f>
        <v>B</v>
      </c>
    </row>
    <row r="24" spans="1:14" ht="14.5" x14ac:dyDescent="0.35">
      <c r="A24" s="7">
        <v>10100</v>
      </c>
      <c r="B24" s="11">
        <v>10104</v>
      </c>
      <c r="C24" s="42" t="str">
        <f t="shared" ref="C24:C35" si="0">IFERROR(VLOOKUP(B24, $M$9:$N$18, 2, FALSE), "")</f>
        <v>C</v>
      </c>
    </row>
    <row r="25" spans="1:14" ht="14.5" x14ac:dyDescent="0.35">
      <c r="A25" s="7">
        <v>10108</v>
      </c>
      <c r="B25" s="11">
        <v>10102</v>
      </c>
      <c r="C25" s="42" t="str">
        <f t="shared" si="0"/>
        <v>B</v>
      </c>
    </row>
    <row r="26" spans="1:14" ht="14.5" x14ac:dyDescent="0.35">
      <c r="A26" s="7">
        <v>10100</v>
      </c>
      <c r="B26" s="11">
        <v>10106</v>
      </c>
      <c r="C26" s="42" t="str">
        <f t="shared" si="0"/>
        <v>D</v>
      </c>
    </row>
    <row r="27" spans="1:14" ht="14.5" x14ac:dyDescent="0.35">
      <c r="A27" s="7">
        <v>10108</v>
      </c>
      <c r="B27" s="11">
        <v>10110</v>
      </c>
      <c r="C27" s="42" t="str">
        <f t="shared" si="0"/>
        <v>F</v>
      </c>
    </row>
    <row r="28" spans="1:14" ht="14.5" x14ac:dyDescent="0.35">
      <c r="A28" s="7">
        <v>10102</v>
      </c>
      <c r="B28" s="11">
        <v>10104</v>
      </c>
      <c r="C28" s="42" t="str">
        <f t="shared" si="0"/>
        <v>C</v>
      </c>
    </row>
    <row r="29" spans="1:14" ht="14.5" x14ac:dyDescent="0.35">
      <c r="A29" s="7">
        <v>10106</v>
      </c>
      <c r="B29" s="11">
        <v>10108</v>
      </c>
      <c r="C29" s="42" t="str">
        <f t="shared" si="0"/>
        <v>E</v>
      </c>
    </row>
    <row r="30" spans="1:14" ht="14.5" x14ac:dyDescent="0.35">
      <c r="A30" s="7">
        <v>10102</v>
      </c>
      <c r="B30" s="11">
        <v>10106</v>
      </c>
      <c r="C30" s="42" t="str">
        <f t="shared" si="0"/>
        <v>D</v>
      </c>
    </row>
    <row r="31" spans="1:14" ht="14.5" x14ac:dyDescent="0.35">
      <c r="A31" s="7">
        <v>10110</v>
      </c>
      <c r="B31" s="11">
        <v>10114</v>
      </c>
      <c r="C31" s="42" t="str">
        <f t="shared" si="0"/>
        <v>H</v>
      </c>
    </row>
    <row r="32" spans="1:14" ht="14.5" x14ac:dyDescent="0.35">
      <c r="A32" s="7">
        <v>10104</v>
      </c>
      <c r="B32" s="11">
        <v>10106</v>
      </c>
      <c r="C32" s="42" t="str">
        <f t="shared" si="0"/>
        <v>D</v>
      </c>
    </row>
    <row r="33" spans="1:3" ht="14.5" x14ac:dyDescent="0.35">
      <c r="A33" s="7">
        <v>10110</v>
      </c>
      <c r="B33" s="11">
        <v>10112</v>
      </c>
      <c r="C33" s="42" t="str">
        <f t="shared" si="0"/>
        <v>G</v>
      </c>
    </row>
    <row r="34" spans="1:3" ht="14.5" x14ac:dyDescent="0.35">
      <c r="A34" s="7">
        <v>10100</v>
      </c>
      <c r="B34" s="11">
        <v>10114</v>
      </c>
      <c r="C34" s="42" t="str">
        <f t="shared" si="0"/>
        <v>H</v>
      </c>
    </row>
    <row r="35" spans="1:3" ht="14.5" x14ac:dyDescent="0.35">
      <c r="A35" s="9">
        <v>10112</v>
      </c>
      <c r="B35" s="12">
        <v>10116</v>
      </c>
      <c r="C35" s="42" t="str">
        <f t="shared" si="0"/>
        <v>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Riya Tomar</cp:lastModifiedBy>
  <dcterms:created xsi:type="dcterms:W3CDTF">2015-02-10T17:33:11Z</dcterms:created>
  <dcterms:modified xsi:type="dcterms:W3CDTF">2024-10-22T17:34:23Z</dcterms:modified>
</cp:coreProperties>
</file>